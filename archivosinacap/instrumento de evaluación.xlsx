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lases\UTC\2026 Primavera\Back End\EVA1\"/>
    </mc:Choice>
  </mc:AlternateContent>
  <xr:revisionPtr revIDLastSave="0" documentId="8_{60B1F05E-8D77-46B0-ACE2-65641C3586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cala notas" sheetId="3" r:id="rId1"/>
    <sheet name="Escala apreci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L16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J4" i="2"/>
  <c r="I4" i="2"/>
  <c r="K4" i="2"/>
</calcChain>
</file>

<file path=xl/sharedStrings.xml><?xml version="1.0" encoding="utf-8"?>
<sst xmlns="http://schemas.openxmlformats.org/spreadsheetml/2006/main" count="78" uniqueCount="78">
  <si>
    <t>Criterio de Evaluación</t>
  </si>
  <si>
    <t>No Logrado (1)</t>
  </si>
  <si>
    <t>Medianamente Logrado (2)</t>
  </si>
  <si>
    <t>Logrado (3)</t>
  </si>
  <si>
    <t>Logrado Sobresaliente (4)</t>
  </si>
  <si>
    <t>Utiliza variables, tipos de datos y operaciones para gestionar la información requerida por la aplicación.</t>
  </si>
  <si>
    <t>Utiliza incorrectamente las variables y operaciones, impidiendo el funcionamiento de la solución.</t>
  </si>
  <si>
    <t>Utiliza algunas variables y operaciones, pero presenta errores o inconsistencias relevantes.</t>
  </si>
  <si>
    <t>Utiliza correctamente las variables y operaciones requeridas, con errores menores que no afectan significativamente la solución.</t>
  </si>
  <si>
    <t>Utiliza de forma correcta y eficiente variables, tipos de datos y operaciones, demostrando dominio de la sintaxis del lenguaje.</t>
  </si>
  <si>
    <t>Implementa instrucciones, operadores y estructuras de control para resolver los requerimientos del proyecto.</t>
  </si>
  <si>
    <t>Las instrucciones presentan errores que impiden el funcionamiento de la aplicación.</t>
  </si>
  <si>
    <t>Implementa parcialmente las estructuras requeridas, con errores que afectan algunas funcionalidades.</t>
  </si>
  <si>
    <t>Implementa correctamente las estructuras e instrucciones requeridas, con errores menores.</t>
  </si>
  <si>
    <t>Implementa de forma correcta, organizada y eficiente instrucciones, operadores y estructuras de control según los requerimientos definidos.</t>
  </si>
  <si>
    <t>Desarrolla vistas funcionales para procesar información y enviarla a las plantillas.</t>
  </si>
  <si>
    <t>No logra implementar vistas funcionales.</t>
  </si>
  <si>
    <t>Implementa vistas con errores importantes en el procesamiento de datos.</t>
  </si>
  <si>
    <t>Implementa vistas funcionales con pequeños errores de codificación.</t>
  </si>
  <si>
    <t>Implementa vistas totalmente funcionales y correctamente estructuradas.</t>
  </si>
  <si>
    <t>Configura adecuadamente las rutas del proyecto y las aplicaciones utilizando include().</t>
  </si>
  <si>
    <t>No configura correctamente las rutas o la navegación no funciona.</t>
  </si>
  <si>
    <t>Configura parcialmente las rutas, presentando errores de navegación.</t>
  </si>
  <si>
    <t>Configura correctamente las rutas principales y secundarias con errores menores.</t>
  </si>
  <si>
    <t>Configura correctamente la integración entre el proyecto y ambas aplicaciones, permitiendo una navegación fluida.</t>
  </si>
  <si>
    <t>Integra Bootstrap local y otros recursos externos requeridos en el proyecto.</t>
  </si>
  <si>
    <t>No integra Bootstrap o los recursos externos no funcionan.</t>
  </si>
  <si>
    <t>Integra parcialmente Bootstrap o presenta problemas de configuración.</t>
  </si>
  <si>
    <t>Integra correctamente Bootstrap local con detalles menores de implementación.</t>
  </si>
  <si>
    <t>Integra completamente Bootstrap local y otros recursos externos, mejorando la presentación y funcionalidad del sitio.</t>
  </si>
  <si>
    <t>Gestiona correctamente archivos estáticos e imágenes dentro del proyecto.</t>
  </si>
  <si>
    <t>Los archivos estáticos no funcionan o no se visualizan las imágenes.</t>
  </si>
  <si>
    <t>Algunos archivos estáticos funcionan, pero existen errores de configuración.</t>
  </si>
  <si>
    <t>Gestiona adecuadamente archivos estáticos e imágenes con errores menores.</t>
  </si>
  <si>
    <t>Gestiona correctamente imágenes, estilos y recursos estáticos utilizando las buenas prácticas de Django.</t>
  </si>
  <si>
    <t>Implementa herencia de plantillas mediante una plantilla base reutilizable.</t>
  </si>
  <si>
    <t>No utiliza herencia de plantillas.</t>
  </si>
  <si>
    <t>Utiliza parcialmente la herencia de plantillas.</t>
  </si>
  <si>
    <t>Implementa una plantilla base funcional utilizada por la mayoría de las páginas.</t>
  </si>
  <si>
    <t>Implementa correctamente una arquitectura de plantillas reutilizable y consistente en todo el proyecto.</t>
  </si>
  <si>
    <t>Implementa una aplicación Django compuesta por dos aplicaciones funcionales.</t>
  </si>
  <si>
    <t>La solución no cumple con la estructura solicitada o presenta fallas críticas.</t>
  </si>
  <si>
    <t>La estructura es parcial o una de las aplicaciones no funciona correctamente.</t>
  </si>
  <si>
    <t>Ambas aplicaciones funcionan correctamente, con detalles menores de implementación.</t>
  </si>
  <si>
    <t>Ambas aplicaciones funcionan completamente y presentan una estructura organizada y coherente.</t>
  </si>
  <si>
    <t>Utiliza archivos JSON para almacenar y mostrar información en las vistas.</t>
  </si>
  <si>
    <t>No utiliza JSON o el procesamiento presenta errores críticos.</t>
  </si>
  <si>
    <t>Utiliza JSON de manera parcial o con errores relevantes.</t>
  </si>
  <si>
    <t>Utiliza correctamente JSON para alimentar las vistas.</t>
  </si>
  <si>
    <t>Utiliza eficientemente archivos JSON, organizando y mostrando la información de forma adecuada.</t>
  </si>
  <si>
    <t>Implementa una interfaz de usuario funcional y navegable.</t>
  </si>
  <si>
    <t>La interfaz no permite utilizar adecuadamente la aplicación.</t>
  </si>
  <si>
    <t>La interfaz presenta problemas importantes de navegación o diseño.</t>
  </si>
  <si>
    <t>La interfaz es funcional y cumple con los requerimientos establecidos.</t>
  </si>
  <si>
    <t>La interfaz es funcional, consistente, intuitiva y mejora la experiencia de usuario.</t>
  </si>
  <si>
    <t>Utiliza una herramienta de inteligencia artificial como apoyo al desarrollo y documenta su uso.</t>
  </si>
  <si>
    <t>No evidencia el uso de IA.</t>
  </si>
  <si>
    <t>Presenta evidencias incompletas del uso de IA.</t>
  </si>
  <si>
    <t>Evidencia y documenta adecuadamente el uso de IA en parte del desarrollo.</t>
  </si>
  <si>
    <t>Evidencia, documenta e integra de manera efectiva recomendaciones generadas por IA para mejorar la solución desarrollada.</t>
  </si>
  <si>
    <t>La aplicación se ejecuta correctamente y cumple los requerimientos establecidos.</t>
  </si>
  <si>
    <t>No funciona o presenta errores críticos.</t>
  </si>
  <si>
    <t>Funciona parcialmente, con errores que afectan algunos requerimientos.</t>
  </si>
  <si>
    <t>Funciona correctamente y cumple la mayoría de los requerimientos.</t>
  </si>
  <si>
    <t>Funciona completamente, cumpliendo todos los requerimientos técnicos y funcionales establecidos.</t>
  </si>
  <si>
    <t>Indicador desempeño</t>
  </si>
  <si>
    <t>NL</t>
  </si>
  <si>
    <t>ML</t>
  </si>
  <si>
    <t>L</t>
  </si>
  <si>
    <t>LS</t>
  </si>
  <si>
    <t>TOTAL</t>
  </si>
  <si>
    <t>1.1.1 Identifica variables y operaciones del lenguaje, según requerimiento.
(12%)</t>
  </si>
  <si>
    <t>1.1.2 Codifica instrucciones, estructuras y operadores, según requerimientos.
(24%)</t>
  </si>
  <si>
    <t>1.1.3 Codifica instrucciones utilizando paquetes externos, según requerimientos.
(24%)</t>
  </si>
  <si>
    <t>1.1.4 Implementa una aplicación sencilla en Django, según los requerimientos establecidos y las recomendaciones generadas por herramientas de inteligencia artificial. 
(40%)</t>
  </si>
  <si>
    <t>Puntaje Obtenido</t>
  </si>
  <si>
    <t>Puntaje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</si>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</sst>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0" fillId="0" borderId="0" xfId="0" applyNumberFormat="1"/>
    <xf numFmtId="168" fontId="1" fillId="0" borderId="3" xfId="0" applyNumberFormat="1" applyFont="1" applyBorder="1" applyAlignment="1">
      <alignment horizontal="center" vertical="center"/>
    </xf>
    <xf numFmtId="0" fontId="0" fillId="4" borderId="18" xfId="0" applyFill="1" applyBorder="1"/>
    <xf numFmtId="0" fontId="0" fillId="4" borderId="17" xfId="0" applyFill="1" applyBorder="1"/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B537-A439-49D0-A214-108556752E3A}">
  <dimension ref="A1:D102"/>
  <sheetViews>
    <sheetView topLeftCell="A71" workbookViewId="0">
      <selection activeCell="D1" sqref="D1:D1048576"/>
    </sheetView>
  </sheetViews>
  <sheetFormatPr baseColWidth="10" defaultRowHeight="15" x14ac:dyDescent="0.25"/>
  <sheetData>
    <row r="1" spans="1:4" x14ac:dyDescent="0.25">
      <c r="A1" t="s">
        <v>76</v>
      </c>
      <c r="B1" t="s">
        <v>77</v>
      </c>
    </row>
    <row r="2" spans="1:4" x14ac:dyDescent="0.25">
      <c r="A2">
        <v>0</v>
      </c>
      <c r="B2" s="26">
        <v>1</v>
      </c>
      <c r="D2" s="26"/>
    </row>
    <row r="3" spans="1:4" x14ac:dyDescent="0.25">
      <c r="A3">
        <v>1</v>
      </c>
      <c r="B3" s="26">
        <v>1.1000000000000001</v>
      </c>
      <c r="D3" s="26"/>
    </row>
    <row r="4" spans="1:4" x14ac:dyDescent="0.25">
      <c r="A4">
        <v>2</v>
      </c>
      <c r="B4" s="26">
        <v>1.1000000000000001</v>
      </c>
      <c r="D4" s="26"/>
    </row>
    <row r="5" spans="1:4" x14ac:dyDescent="0.25">
      <c r="A5">
        <v>3</v>
      </c>
      <c r="B5" s="26">
        <v>1.2</v>
      </c>
      <c r="D5" s="26"/>
    </row>
    <row r="6" spans="1:4" x14ac:dyDescent="0.25">
      <c r="A6">
        <v>4</v>
      </c>
      <c r="B6" s="26">
        <v>1.2</v>
      </c>
      <c r="D6" s="26"/>
    </row>
    <row r="7" spans="1:4" x14ac:dyDescent="0.25">
      <c r="A7">
        <v>5</v>
      </c>
      <c r="B7" s="26">
        <v>1.3</v>
      </c>
      <c r="D7" s="26"/>
    </row>
    <row r="8" spans="1:4" x14ac:dyDescent="0.25">
      <c r="A8">
        <v>6</v>
      </c>
      <c r="B8" s="26">
        <v>1.3</v>
      </c>
      <c r="D8" s="26"/>
    </row>
    <row r="9" spans="1:4" x14ac:dyDescent="0.25">
      <c r="A9">
        <v>7</v>
      </c>
      <c r="B9" s="26">
        <v>1.4</v>
      </c>
      <c r="D9" s="26"/>
    </row>
    <row r="10" spans="1:4" x14ac:dyDescent="0.25">
      <c r="A10">
        <v>8</v>
      </c>
      <c r="B10" s="26">
        <v>1.4</v>
      </c>
      <c r="D10" s="26"/>
    </row>
    <row r="11" spans="1:4" x14ac:dyDescent="0.25">
      <c r="A11">
        <v>9</v>
      </c>
      <c r="B11" s="26">
        <v>1.5</v>
      </c>
      <c r="D11" s="26"/>
    </row>
    <row r="12" spans="1:4" x14ac:dyDescent="0.25">
      <c r="A12">
        <v>10</v>
      </c>
      <c r="B12" s="26">
        <v>1.5</v>
      </c>
      <c r="D12" s="26"/>
    </row>
    <row r="13" spans="1:4" x14ac:dyDescent="0.25">
      <c r="A13">
        <v>11</v>
      </c>
      <c r="B13" s="26">
        <v>1.6</v>
      </c>
      <c r="D13" s="26"/>
    </row>
    <row r="14" spans="1:4" x14ac:dyDescent="0.25">
      <c r="A14">
        <v>12</v>
      </c>
      <c r="B14" s="26">
        <v>1.6</v>
      </c>
      <c r="D14" s="26"/>
    </row>
    <row r="15" spans="1:4" x14ac:dyDescent="0.25">
      <c r="A15">
        <v>13</v>
      </c>
      <c r="B15" s="26">
        <v>1.7</v>
      </c>
      <c r="D15" s="26"/>
    </row>
    <row r="16" spans="1:4" x14ac:dyDescent="0.25">
      <c r="A16">
        <v>14</v>
      </c>
      <c r="B16" s="26">
        <v>1.7</v>
      </c>
      <c r="D16" s="26"/>
    </row>
    <row r="17" spans="1:4" x14ac:dyDescent="0.25">
      <c r="A17">
        <v>15</v>
      </c>
      <c r="B17" s="26">
        <v>1.8</v>
      </c>
      <c r="D17" s="26"/>
    </row>
    <row r="18" spans="1:4" x14ac:dyDescent="0.25">
      <c r="A18">
        <v>16</v>
      </c>
      <c r="B18" s="26">
        <v>1.8</v>
      </c>
      <c r="D18" s="26"/>
    </row>
    <row r="19" spans="1:4" x14ac:dyDescent="0.25">
      <c r="A19">
        <v>17</v>
      </c>
      <c r="B19" s="26">
        <v>1.9</v>
      </c>
      <c r="D19" s="26"/>
    </row>
    <row r="20" spans="1:4" x14ac:dyDescent="0.25">
      <c r="A20">
        <v>18</v>
      </c>
      <c r="B20" s="26">
        <v>1.9</v>
      </c>
      <c r="D20" s="26"/>
    </row>
    <row r="21" spans="1:4" x14ac:dyDescent="0.25">
      <c r="A21">
        <v>19</v>
      </c>
      <c r="B21" s="26">
        <v>2</v>
      </c>
      <c r="D21" s="26"/>
    </row>
    <row r="22" spans="1:4" x14ac:dyDescent="0.25">
      <c r="A22">
        <v>20</v>
      </c>
      <c r="B22" s="26">
        <v>2</v>
      </c>
      <c r="D22" s="26"/>
    </row>
    <row r="23" spans="1:4" x14ac:dyDescent="0.25">
      <c r="A23">
        <v>21</v>
      </c>
      <c r="B23" s="26">
        <v>2.1</v>
      </c>
      <c r="D23" s="26"/>
    </row>
    <row r="24" spans="1:4" x14ac:dyDescent="0.25">
      <c r="A24">
        <v>22</v>
      </c>
      <c r="B24" s="26">
        <v>2.1</v>
      </c>
      <c r="D24" s="26"/>
    </row>
    <row r="25" spans="1:4" x14ac:dyDescent="0.25">
      <c r="A25">
        <v>23</v>
      </c>
      <c r="B25" s="26">
        <v>2.2000000000000002</v>
      </c>
      <c r="D25" s="26"/>
    </row>
    <row r="26" spans="1:4" x14ac:dyDescent="0.25">
      <c r="A26">
        <v>24</v>
      </c>
      <c r="B26" s="26">
        <v>2.2000000000000002</v>
      </c>
      <c r="D26" s="26"/>
    </row>
    <row r="27" spans="1:4" x14ac:dyDescent="0.25">
      <c r="A27">
        <v>25</v>
      </c>
      <c r="B27" s="26">
        <v>2.2999999999999998</v>
      </c>
      <c r="D27" s="26"/>
    </row>
    <row r="28" spans="1:4" x14ac:dyDescent="0.25">
      <c r="A28">
        <v>26</v>
      </c>
      <c r="B28" s="26">
        <v>2.2999999999999998</v>
      </c>
      <c r="D28" s="26"/>
    </row>
    <row r="29" spans="1:4" x14ac:dyDescent="0.25">
      <c r="A29">
        <v>27</v>
      </c>
      <c r="B29" s="26">
        <v>2.4</v>
      </c>
      <c r="D29" s="26"/>
    </row>
    <row r="30" spans="1:4" x14ac:dyDescent="0.25">
      <c r="A30">
        <v>28</v>
      </c>
      <c r="B30" s="26">
        <v>2.4</v>
      </c>
      <c r="D30" s="26"/>
    </row>
    <row r="31" spans="1:4" x14ac:dyDescent="0.25">
      <c r="A31">
        <v>29</v>
      </c>
      <c r="B31" s="26">
        <v>2.5</v>
      </c>
      <c r="D31" s="26"/>
    </row>
    <row r="32" spans="1:4" x14ac:dyDescent="0.25">
      <c r="A32">
        <v>30</v>
      </c>
      <c r="B32" s="26">
        <v>2.5</v>
      </c>
      <c r="D32" s="26"/>
    </row>
    <row r="33" spans="1:4" x14ac:dyDescent="0.25">
      <c r="A33">
        <v>31</v>
      </c>
      <c r="B33" s="26">
        <v>2.6</v>
      </c>
      <c r="D33" s="26"/>
    </row>
    <row r="34" spans="1:4" x14ac:dyDescent="0.25">
      <c r="A34">
        <v>32</v>
      </c>
      <c r="B34" s="26">
        <v>2.6</v>
      </c>
      <c r="D34" s="26"/>
    </row>
    <row r="35" spans="1:4" x14ac:dyDescent="0.25">
      <c r="A35">
        <v>33</v>
      </c>
      <c r="B35" s="26">
        <v>2.7</v>
      </c>
      <c r="D35" s="26"/>
    </row>
    <row r="36" spans="1:4" x14ac:dyDescent="0.25">
      <c r="A36">
        <v>34</v>
      </c>
      <c r="B36" s="26">
        <v>2.7</v>
      </c>
      <c r="D36" s="26"/>
    </row>
    <row r="37" spans="1:4" x14ac:dyDescent="0.25">
      <c r="A37">
        <v>35</v>
      </c>
      <c r="B37" s="26">
        <v>2.8</v>
      </c>
      <c r="D37" s="26"/>
    </row>
    <row r="38" spans="1:4" x14ac:dyDescent="0.25">
      <c r="A38">
        <v>36</v>
      </c>
      <c r="B38" s="26">
        <v>2.8</v>
      </c>
      <c r="D38" s="26"/>
    </row>
    <row r="39" spans="1:4" x14ac:dyDescent="0.25">
      <c r="A39">
        <v>37</v>
      </c>
      <c r="B39" s="26">
        <v>2.9</v>
      </c>
      <c r="D39" s="26"/>
    </row>
    <row r="40" spans="1:4" x14ac:dyDescent="0.25">
      <c r="A40">
        <v>38</v>
      </c>
      <c r="B40" s="26">
        <v>2.9</v>
      </c>
      <c r="D40" s="26"/>
    </row>
    <row r="41" spans="1:4" x14ac:dyDescent="0.25">
      <c r="A41">
        <v>39</v>
      </c>
      <c r="B41" s="26">
        <v>3</v>
      </c>
      <c r="D41" s="26"/>
    </row>
    <row r="42" spans="1:4" x14ac:dyDescent="0.25">
      <c r="A42">
        <v>40</v>
      </c>
      <c r="B42" s="26">
        <v>3</v>
      </c>
      <c r="D42" s="26"/>
    </row>
    <row r="43" spans="1:4" x14ac:dyDescent="0.25">
      <c r="A43">
        <v>41</v>
      </c>
      <c r="B43" s="26">
        <v>3.1</v>
      </c>
      <c r="D43" s="26"/>
    </row>
    <row r="44" spans="1:4" x14ac:dyDescent="0.25">
      <c r="A44">
        <v>42</v>
      </c>
      <c r="B44" s="26">
        <v>3.1</v>
      </c>
      <c r="D44" s="26"/>
    </row>
    <row r="45" spans="1:4" x14ac:dyDescent="0.25">
      <c r="A45">
        <v>43</v>
      </c>
      <c r="B45" s="26">
        <v>3.2</v>
      </c>
      <c r="D45" s="26"/>
    </row>
    <row r="46" spans="1:4" x14ac:dyDescent="0.25">
      <c r="A46">
        <v>44</v>
      </c>
      <c r="B46" s="26">
        <v>3.2</v>
      </c>
      <c r="D46" s="26"/>
    </row>
    <row r="47" spans="1:4" x14ac:dyDescent="0.25">
      <c r="A47">
        <v>45</v>
      </c>
      <c r="B47" s="26">
        <v>3.3</v>
      </c>
      <c r="D47" s="26"/>
    </row>
    <row r="48" spans="1:4" x14ac:dyDescent="0.25">
      <c r="A48">
        <v>46</v>
      </c>
      <c r="B48" s="26">
        <v>3.3</v>
      </c>
      <c r="D48" s="26"/>
    </row>
    <row r="49" spans="1:4" x14ac:dyDescent="0.25">
      <c r="A49">
        <v>47</v>
      </c>
      <c r="B49" s="26">
        <v>3.4</v>
      </c>
      <c r="D49" s="26"/>
    </row>
    <row r="50" spans="1:4" x14ac:dyDescent="0.25">
      <c r="A50">
        <v>48</v>
      </c>
      <c r="B50" s="26">
        <v>3.4</v>
      </c>
      <c r="D50" s="26"/>
    </row>
    <row r="51" spans="1:4" x14ac:dyDescent="0.25">
      <c r="A51">
        <v>49</v>
      </c>
      <c r="B51" s="26">
        <v>3.5</v>
      </c>
      <c r="D51" s="26"/>
    </row>
    <row r="52" spans="1:4" x14ac:dyDescent="0.25">
      <c r="A52">
        <v>50</v>
      </c>
      <c r="B52" s="26">
        <v>3.5</v>
      </c>
      <c r="D52" s="26"/>
    </row>
    <row r="53" spans="1:4" x14ac:dyDescent="0.25">
      <c r="A53">
        <v>51</v>
      </c>
      <c r="B53" s="26">
        <v>3.6</v>
      </c>
      <c r="D53" s="26"/>
    </row>
    <row r="54" spans="1:4" x14ac:dyDescent="0.25">
      <c r="A54">
        <v>52</v>
      </c>
      <c r="B54" s="26">
        <v>3.6</v>
      </c>
      <c r="D54" s="26"/>
    </row>
    <row r="55" spans="1:4" x14ac:dyDescent="0.25">
      <c r="A55">
        <v>53</v>
      </c>
      <c r="B55" s="26">
        <v>3.7</v>
      </c>
      <c r="D55" s="26"/>
    </row>
    <row r="56" spans="1:4" x14ac:dyDescent="0.25">
      <c r="A56">
        <v>54</v>
      </c>
      <c r="B56" s="26">
        <v>3.7</v>
      </c>
      <c r="D56" s="26"/>
    </row>
    <row r="57" spans="1:4" x14ac:dyDescent="0.25">
      <c r="A57">
        <v>55</v>
      </c>
      <c r="B57" s="26">
        <v>3.8</v>
      </c>
      <c r="D57" s="26"/>
    </row>
    <row r="58" spans="1:4" x14ac:dyDescent="0.25">
      <c r="A58">
        <v>56</v>
      </c>
      <c r="B58" s="26">
        <v>3.8</v>
      </c>
      <c r="D58" s="26"/>
    </row>
    <row r="59" spans="1:4" x14ac:dyDescent="0.25">
      <c r="A59">
        <v>57</v>
      </c>
      <c r="B59" s="26">
        <v>3.9</v>
      </c>
      <c r="D59" s="26"/>
    </row>
    <row r="60" spans="1:4" x14ac:dyDescent="0.25">
      <c r="A60">
        <v>58</v>
      </c>
      <c r="B60" s="26">
        <v>3.9</v>
      </c>
      <c r="D60" s="26"/>
    </row>
    <row r="61" spans="1:4" x14ac:dyDescent="0.25">
      <c r="A61">
        <v>59</v>
      </c>
      <c r="B61" s="26">
        <v>4</v>
      </c>
      <c r="D61" s="26"/>
    </row>
    <row r="62" spans="1:4" x14ac:dyDescent="0.25">
      <c r="A62">
        <v>60</v>
      </c>
      <c r="B62" s="26">
        <v>4</v>
      </c>
      <c r="D62" s="26"/>
    </row>
    <row r="63" spans="1:4" x14ac:dyDescent="0.25">
      <c r="A63">
        <v>61</v>
      </c>
      <c r="B63" s="26">
        <v>4.0999999999999996</v>
      </c>
      <c r="D63" s="26"/>
    </row>
    <row r="64" spans="1:4" x14ac:dyDescent="0.25">
      <c r="A64">
        <v>62</v>
      </c>
      <c r="B64" s="26">
        <v>4.2</v>
      </c>
      <c r="D64" s="26"/>
    </row>
    <row r="65" spans="1:4" x14ac:dyDescent="0.25">
      <c r="A65">
        <v>63</v>
      </c>
      <c r="B65" s="26">
        <v>4.2</v>
      </c>
      <c r="D65" s="26"/>
    </row>
    <row r="66" spans="1:4" x14ac:dyDescent="0.25">
      <c r="A66">
        <v>64</v>
      </c>
      <c r="B66" s="26">
        <v>4.3</v>
      </c>
      <c r="D66" s="26"/>
    </row>
    <row r="67" spans="1:4" x14ac:dyDescent="0.25">
      <c r="A67">
        <v>65</v>
      </c>
      <c r="B67" s="26">
        <v>4.4000000000000004</v>
      </c>
      <c r="D67" s="26"/>
    </row>
    <row r="68" spans="1:4" x14ac:dyDescent="0.25">
      <c r="A68">
        <v>66</v>
      </c>
      <c r="B68" s="26">
        <v>4.5</v>
      </c>
      <c r="D68" s="26"/>
    </row>
    <row r="69" spans="1:4" x14ac:dyDescent="0.25">
      <c r="A69">
        <v>67</v>
      </c>
      <c r="B69" s="26">
        <v>4.5</v>
      </c>
      <c r="D69" s="26"/>
    </row>
    <row r="70" spans="1:4" x14ac:dyDescent="0.25">
      <c r="A70">
        <v>68</v>
      </c>
      <c r="B70" s="26">
        <v>4.5999999999999996</v>
      </c>
      <c r="D70" s="26"/>
    </row>
    <row r="71" spans="1:4" x14ac:dyDescent="0.25">
      <c r="A71">
        <v>69</v>
      </c>
      <c r="B71" s="26">
        <v>4.7</v>
      </c>
      <c r="D71" s="26"/>
    </row>
    <row r="72" spans="1:4" x14ac:dyDescent="0.25">
      <c r="A72">
        <v>70</v>
      </c>
      <c r="B72" s="26">
        <v>4.8</v>
      </c>
      <c r="D72" s="26"/>
    </row>
    <row r="73" spans="1:4" x14ac:dyDescent="0.25">
      <c r="A73">
        <v>71</v>
      </c>
      <c r="B73" s="26">
        <v>4.8</v>
      </c>
      <c r="D73" s="26"/>
    </row>
    <row r="74" spans="1:4" x14ac:dyDescent="0.25">
      <c r="A74">
        <v>72</v>
      </c>
      <c r="B74" s="26">
        <v>4.9000000000000004</v>
      </c>
      <c r="D74" s="26"/>
    </row>
    <row r="75" spans="1:4" x14ac:dyDescent="0.25">
      <c r="A75">
        <v>73</v>
      </c>
      <c r="B75" s="26">
        <v>5</v>
      </c>
      <c r="D75" s="26"/>
    </row>
    <row r="76" spans="1:4" x14ac:dyDescent="0.25">
      <c r="A76">
        <v>74</v>
      </c>
      <c r="B76" s="26">
        <v>5.0999999999999996</v>
      </c>
      <c r="D76" s="26"/>
    </row>
    <row r="77" spans="1:4" x14ac:dyDescent="0.25">
      <c r="A77">
        <v>75</v>
      </c>
      <c r="B77" s="26">
        <v>5.0999999999999996</v>
      </c>
      <c r="D77" s="26"/>
    </row>
    <row r="78" spans="1:4" x14ac:dyDescent="0.25">
      <c r="A78">
        <v>76</v>
      </c>
      <c r="B78" s="26">
        <v>5.2</v>
      </c>
      <c r="D78" s="26"/>
    </row>
    <row r="79" spans="1:4" x14ac:dyDescent="0.25">
      <c r="A79">
        <v>77</v>
      </c>
      <c r="B79" s="26">
        <v>5.3</v>
      </c>
      <c r="D79" s="26"/>
    </row>
    <row r="80" spans="1:4" x14ac:dyDescent="0.25">
      <c r="A80">
        <v>78</v>
      </c>
      <c r="B80" s="26">
        <v>5.4</v>
      </c>
      <c r="D80" s="26"/>
    </row>
    <row r="81" spans="1:4" x14ac:dyDescent="0.25">
      <c r="A81">
        <v>79</v>
      </c>
      <c r="B81" s="26">
        <v>5.4</v>
      </c>
      <c r="D81" s="26"/>
    </row>
    <row r="82" spans="1:4" x14ac:dyDescent="0.25">
      <c r="A82">
        <v>80</v>
      </c>
      <c r="B82" s="26">
        <v>5.5</v>
      </c>
      <c r="D82" s="26"/>
    </row>
    <row r="83" spans="1:4" x14ac:dyDescent="0.25">
      <c r="A83">
        <v>81</v>
      </c>
      <c r="B83" s="26">
        <v>5.6</v>
      </c>
      <c r="D83" s="26"/>
    </row>
    <row r="84" spans="1:4" x14ac:dyDescent="0.25">
      <c r="A84">
        <v>82</v>
      </c>
      <c r="B84" s="26">
        <v>5.7</v>
      </c>
      <c r="D84" s="26"/>
    </row>
    <row r="85" spans="1:4" x14ac:dyDescent="0.25">
      <c r="A85">
        <v>83</v>
      </c>
      <c r="B85" s="26">
        <v>5.7</v>
      </c>
      <c r="D85" s="26"/>
    </row>
    <row r="86" spans="1:4" x14ac:dyDescent="0.25">
      <c r="A86">
        <v>84</v>
      </c>
      <c r="B86" s="26">
        <v>5.8</v>
      </c>
      <c r="D86" s="26"/>
    </row>
    <row r="87" spans="1:4" x14ac:dyDescent="0.25">
      <c r="A87">
        <v>85</v>
      </c>
      <c r="B87" s="26">
        <v>5.9</v>
      </c>
      <c r="D87" s="26"/>
    </row>
    <row r="88" spans="1:4" x14ac:dyDescent="0.25">
      <c r="A88">
        <v>86</v>
      </c>
      <c r="B88" s="26">
        <v>6</v>
      </c>
      <c r="D88" s="26"/>
    </row>
    <row r="89" spans="1:4" x14ac:dyDescent="0.25">
      <c r="A89">
        <v>87</v>
      </c>
      <c r="B89" s="26">
        <v>6</v>
      </c>
      <c r="D89" s="26"/>
    </row>
    <row r="90" spans="1:4" x14ac:dyDescent="0.25">
      <c r="A90">
        <v>88</v>
      </c>
      <c r="B90" s="26">
        <v>6.1</v>
      </c>
      <c r="D90" s="26"/>
    </row>
    <row r="91" spans="1:4" x14ac:dyDescent="0.25">
      <c r="A91">
        <v>89</v>
      </c>
      <c r="B91" s="26">
        <v>6.2</v>
      </c>
      <c r="D91" s="26"/>
    </row>
    <row r="92" spans="1:4" x14ac:dyDescent="0.25">
      <c r="A92">
        <v>90</v>
      </c>
      <c r="B92" s="26">
        <v>6.3</v>
      </c>
      <c r="D92" s="26"/>
    </row>
    <row r="93" spans="1:4" x14ac:dyDescent="0.25">
      <c r="A93">
        <v>91</v>
      </c>
      <c r="B93" s="26">
        <v>6.3</v>
      </c>
      <c r="D93" s="26"/>
    </row>
    <row r="94" spans="1:4" x14ac:dyDescent="0.25">
      <c r="A94">
        <v>92</v>
      </c>
      <c r="B94" s="26">
        <v>6.4</v>
      </c>
      <c r="D94" s="26"/>
    </row>
    <row r="95" spans="1:4" x14ac:dyDescent="0.25">
      <c r="A95">
        <v>93</v>
      </c>
      <c r="B95" s="26">
        <v>6.5</v>
      </c>
      <c r="D95" s="26"/>
    </row>
    <row r="96" spans="1:4" x14ac:dyDescent="0.25">
      <c r="A96">
        <v>94</v>
      </c>
      <c r="B96" s="26">
        <v>6.6</v>
      </c>
      <c r="D96" s="26"/>
    </row>
    <row r="97" spans="1:4" x14ac:dyDescent="0.25">
      <c r="A97">
        <v>95</v>
      </c>
      <c r="B97" s="26">
        <v>6.6</v>
      </c>
      <c r="D97" s="26"/>
    </row>
    <row r="98" spans="1:4" x14ac:dyDescent="0.25">
      <c r="A98">
        <v>96</v>
      </c>
      <c r="B98" s="26">
        <v>6.7</v>
      </c>
      <c r="D98" s="26"/>
    </row>
    <row r="99" spans="1:4" x14ac:dyDescent="0.25">
      <c r="A99">
        <v>97</v>
      </c>
      <c r="B99" s="26">
        <v>6.8</v>
      </c>
      <c r="D99" s="26"/>
    </row>
    <row r="100" spans="1:4" x14ac:dyDescent="0.25">
      <c r="A100">
        <v>98</v>
      </c>
      <c r="B100" s="26">
        <v>6.9</v>
      </c>
      <c r="D100" s="26"/>
    </row>
    <row r="101" spans="1:4" x14ac:dyDescent="0.25">
      <c r="A101">
        <v>99</v>
      </c>
      <c r="B101" s="26">
        <v>6.9</v>
      </c>
      <c r="D101" s="26"/>
    </row>
    <row r="102" spans="1:4" x14ac:dyDescent="0.25">
      <c r="A102">
        <v>100</v>
      </c>
      <c r="B102" s="26">
        <v>7</v>
      </c>
      <c r="D10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AF0B-6EAD-422A-9E01-53AB6D233477}">
  <dimension ref="B3:M16"/>
  <sheetViews>
    <sheetView tabSelected="1" topLeftCell="A10" workbookViewId="0">
      <selection activeCell="L20" sqref="L20:M20"/>
    </sheetView>
  </sheetViews>
  <sheetFormatPr baseColWidth="10" defaultRowHeight="15" x14ac:dyDescent="0.25"/>
  <cols>
    <col min="1" max="1" width="3.28515625" customWidth="1"/>
    <col min="2" max="2" width="30.42578125" customWidth="1"/>
    <col min="3" max="7" width="27.42578125" customWidth="1"/>
    <col min="8" max="11" width="5.42578125" customWidth="1"/>
  </cols>
  <sheetData>
    <row r="3" spans="2:13" ht="30.75" thickBot="1" x14ac:dyDescent="0.3">
      <c r="B3" s="1" t="s">
        <v>0</v>
      </c>
      <c r="C3" s="1" t="s">
        <v>65</v>
      </c>
      <c r="D3" s="1" t="s">
        <v>1</v>
      </c>
      <c r="E3" s="1" t="s">
        <v>2</v>
      </c>
      <c r="F3" s="1" t="s">
        <v>3</v>
      </c>
      <c r="G3" s="1" t="s">
        <v>4</v>
      </c>
      <c r="H3" s="37" t="s">
        <v>66</v>
      </c>
      <c r="I3" s="37" t="s">
        <v>67</v>
      </c>
      <c r="J3" s="37" t="s">
        <v>68</v>
      </c>
      <c r="K3" s="37" t="s">
        <v>69</v>
      </c>
      <c r="L3" s="1" t="s">
        <v>70</v>
      </c>
      <c r="M3" s="1" t="s">
        <v>75</v>
      </c>
    </row>
    <row r="4" spans="2:13" ht="90.75" thickBot="1" x14ac:dyDescent="0.3">
      <c r="B4" s="4" t="s">
        <v>71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15">
        <v>0</v>
      </c>
      <c r="I4" s="15">
        <f>L4*0.33</f>
        <v>3.96</v>
      </c>
      <c r="J4" s="15">
        <f>L4*0.66</f>
        <v>7.92</v>
      </c>
      <c r="K4" s="16">
        <f>L4*1</f>
        <v>12</v>
      </c>
      <c r="L4" s="23">
        <v>12</v>
      </c>
      <c r="M4" s="28"/>
    </row>
    <row r="5" spans="2:13" ht="90" x14ac:dyDescent="0.25">
      <c r="B5" s="7" t="s">
        <v>72</v>
      </c>
      <c r="C5" s="8" t="s">
        <v>10</v>
      </c>
      <c r="D5" s="8" t="s">
        <v>11</v>
      </c>
      <c r="E5" s="8" t="s">
        <v>12</v>
      </c>
      <c r="F5" s="8" t="s">
        <v>13</v>
      </c>
      <c r="G5" s="9" t="s">
        <v>14</v>
      </c>
      <c r="H5" s="17">
        <v>0</v>
      </c>
      <c r="I5" s="17">
        <f t="shared" ref="I5:I15" si="0">L5*0.33</f>
        <v>2.64</v>
      </c>
      <c r="J5" s="17">
        <f t="shared" ref="J5:J15" si="1">L5*0.66</f>
        <v>5.28</v>
      </c>
      <c r="K5" s="18">
        <f t="shared" ref="K5:K15" si="2">L5*1</f>
        <v>8</v>
      </c>
      <c r="L5" s="30">
        <v>8</v>
      </c>
      <c r="M5" s="34"/>
    </row>
    <row r="6" spans="2:13" ht="45" x14ac:dyDescent="0.25">
      <c r="B6" s="10"/>
      <c r="C6" s="2" t="s">
        <v>15</v>
      </c>
      <c r="D6" s="2" t="s">
        <v>16</v>
      </c>
      <c r="E6" s="2" t="s">
        <v>17</v>
      </c>
      <c r="F6" s="2" t="s">
        <v>18</v>
      </c>
      <c r="G6" s="3" t="s">
        <v>19</v>
      </c>
      <c r="H6" s="19">
        <v>0</v>
      </c>
      <c r="I6" s="19">
        <f t="shared" si="0"/>
        <v>2.64</v>
      </c>
      <c r="J6" s="19">
        <f t="shared" si="1"/>
        <v>5.28</v>
      </c>
      <c r="K6" s="20">
        <f t="shared" si="2"/>
        <v>8</v>
      </c>
      <c r="L6" s="31">
        <v>8</v>
      </c>
      <c r="M6" s="35"/>
    </row>
    <row r="7" spans="2:13" ht="75.75" thickBot="1" x14ac:dyDescent="0.3">
      <c r="B7" s="11"/>
      <c r="C7" s="12" t="s">
        <v>20</v>
      </c>
      <c r="D7" s="12" t="s">
        <v>21</v>
      </c>
      <c r="E7" s="12" t="s">
        <v>22</v>
      </c>
      <c r="F7" s="12" t="s">
        <v>23</v>
      </c>
      <c r="G7" s="13" t="s">
        <v>24</v>
      </c>
      <c r="H7" s="21">
        <v>0</v>
      </c>
      <c r="I7" s="21">
        <f t="shared" si="0"/>
        <v>2.64</v>
      </c>
      <c r="J7" s="21">
        <f t="shared" si="1"/>
        <v>5.28</v>
      </c>
      <c r="K7" s="22">
        <f t="shared" si="2"/>
        <v>8</v>
      </c>
      <c r="L7" s="32">
        <v>8</v>
      </c>
      <c r="M7" s="36"/>
    </row>
    <row r="8" spans="2:13" ht="75" x14ac:dyDescent="0.25">
      <c r="B8" s="7" t="s">
        <v>73</v>
      </c>
      <c r="C8" s="8" t="s">
        <v>25</v>
      </c>
      <c r="D8" s="8" t="s">
        <v>26</v>
      </c>
      <c r="E8" s="8" t="s">
        <v>27</v>
      </c>
      <c r="F8" s="8" t="s">
        <v>28</v>
      </c>
      <c r="G8" s="9" t="s">
        <v>29</v>
      </c>
      <c r="H8" s="17">
        <v>0</v>
      </c>
      <c r="I8" s="17">
        <f t="shared" si="0"/>
        <v>2.64</v>
      </c>
      <c r="J8" s="17">
        <f t="shared" si="1"/>
        <v>5.28</v>
      </c>
      <c r="K8" s="18">
        <f t="shared" si="2"/>
        <v>8</v>
      </c>
      <c r="L8" s="33">
        <v>8</v>
      </c>
      <c r="M8" s="34"/>
    </row>
    <row r="9" spans="2:13" ht="60" x14ac:dyDescent="0.25">
      <c r="B9" s="10"/>
      <c r="C9" s="2" t="s">
        <v>30</v>
      </c>
      <c r="D9" s="2" t="s">
        <v>31</v>
      </c>
      <c r="E9" s="2" t="s">
        <v>32</v>
      </c>
      <c r="F9" s="2" t="s">
        <v>33</v>
      </c>
      <c r="G9" s="3" t="s">
        <v>34</v>
      </c>
      <c r="H9" s="19">
        <v>0</v>
      </c>
      <c r="I9" s="19">
        <f t="shared" si="0"/>
        <v>2.64</v>
      </c>
      <c r="J9" s="19">
        <f t="shared" si="1"/>
        <v>5.28</v>
      </c>
      <c r="K9" s="20">
        <f t="shared" si="2"/>
        <v>8</v>
      </c>
      <c r="L9" s="31">
        <v>8</v>
      </c>
      <c r="M9" s="35"/>
    </row>
    <row r="10" spans="2:13" ht="60.75" thickBot="1" x14ac:dyDescent="0.3">
      <c r="B10" s="11"/>
      <c r="C10" s="12" t="s">
        <v>35</v>
      </c>
      <c r="D10" s="12" t="s">
        <v>36</v>
      </c>
      <c r="E10" s="12" t="s">
        <v>37</v>
      </c>
      <c r="F10" s="12" t="s">
        <v>38</v>
      </c>
      <c r="G10" s="13" t="s">
        <v>39</v>
      </c>
      <c r="H10" s="21">
        <v>0</v>
      </c>
      <c r="I10" s="21">
        <f t="shared" si="0"/>
        <v>2.64</v>
      </c>
      <c r="J10" s="21">
        <f t="shared" si="1"/>
        <v>5.28</v>
      </c>
      <c r="K10" s="22">
        <f t="shared" si="2"/>
        <v>8</v>
      </c>
      <c r="L10" s="32">
        <v>8</v>
      </c>
      <c r="M10" s="36"/>
    </row>
    <row r="11" spans="2:13" ht="60" x14ac:dyDescent="0.25">
      <c r="B11" s="7" t="s">
        <v>74</v>
      </c>
      <c r="C11" s="8" t="s">
        <v>40</v>
      </c>
      <c r="D11" s="8" t="s">
        <v>41</v>
      </c>
      <c r="E11" s="8" t="s">
        <v>42</v>
      </c>
      <c r="F11" s="8" t="s">
        <v>43</v>
      </c>
      <c r="G11" s="9" t="s">
        <v>44</v>
      </c>
      <c r="H11" s="17">
        <v>0</v>
      </c>
      <c r="I11" s="17">
        <f t="shared" si="0"/>
        <v>2.64</v>
      </c>
      <c r="J11" s="17">
        <f t="shared" si="1"/>
        <v>5.28</v>
      </c>
      <c r="K11" s="18">
        <f t="shared" si="2"/>
        <v>8</v>
      </c>
      <c r="L11" s="33">
        <v>8</v>
      </c>
      <c r="M11" s="34"/>
    </row>
    <row r="12" spans="2:13" ht="60" x14ac:dyDescent="0.25">
      <c r="B12" s="10"/>
      <c r="C12" s="2" t="s">
        <v>45</v>
      </c>
      <c r="D12" s="2" t="s">
        <v>46</v>
      </c>
      <c r="E12" s="2" t="s">
        <v>47</v>
      </c>
      <c r="F12" s="2" t="s">
        <v>48</v>
      </c>
      <c r="G12" s="3" t="s">
        <v>49</v>
      </c>
      <c r="H12" s="19">
        <v>0</v>
      </c>
      <c r="I12" s="19">
        <f t="shared" si="0"/>
        <v>2.64</v>
      </c>
      <c r="J12" s="19">
        <f t="shared" si="1"/>
        <v>5.28</v>
      </c>
      <c r="K12" s="20">
        <f t="shared" si="2"/>
        <v>8</v>
      </c>
      <c r="L12" s="31">
        <v>8</v>
      </c>
      <c r="M12" s="35"/>
    </row>
    <row r="13" spans="2:13" ht="60" x14ac:dyDescent="0.25">
      <c r="B13" s="10"/>
      <c r="C13" s="2" t="s">
        <v>50</v>
      </c>
      <c r="D13" s="2" t="s">
        <v>51</v>
      </c>
      <c r="E13" s="2" t="s">
        <v>52</v>
      </c>
      <c r="F13" s="2" t="s">
        <v>53</v>
      </c>
      <c r="G13" s="3" t="s">
        <v>54</v>
      </c>
      <c r="H13" s="19">
        <v>0</v>
      </c>
      <c r="I13" s="19">
        <f t="shared" si="0"/>
        <v>2.64</v>
      </c>
      <c r="J13" s="19">
        <f t="shared" si="1"/>
        <v>5.28</v>
      </c>
      <c r="K13" s="20">
        <f t="shared" si="2"/>
        <v>8</v>
      </c>
      <c r="L13" s="31">
        <v>8</v>
      </c>
      <c r="M13" s="35"/>
    </row>
    <row r="14" spans="2:13" ht="75" x14ac:dyDescent="0.25">
      <c r="B14" s="10"/>
      <c r="C14" s="2" t="s">
        <v>55</v>
      </c>
      <c r="D14" s="2" t="s">
        <v>56</v>
      </c>
      <c r="E14" s="2" t="s">
        <v>57</v>
      </c>
      <c r="F14" s="2" t="s">
        <v>58</v>
      </c>
      <c r="G14" s="3" t="s">
        <v>59</v>
      </c>
      <c r="H14" s="19">
        <v>0</v>
      </c>
      <c r="I14" s="19">
        <f t="shared" si="0"/>
        <v>2.64</v>
      </c>
      <c r="J14" s="19">
        <f t="shared" si="1"/>
        <v>5.28</v>
      </c>
      <c r="K14" s="20">
        <f t="shared" si="2"/>
        <v>8</v>
      </c>
      <c r="L14" s="31">
        <v>8</v>
      </c>
      <c r="M14" s="35"/>
    </row>
    <row r="15" spans="2:13" ht="60.75" thickBot="1" x14ac:dyDescent="0.3">
      <c r="B15" s="11"/>
      <c r="C15" s="12" t="s">
        <v>60</v>
      </c>
      <c r="D15" s="12" t="s">
        <v>61</v>
      </c>
      <c r="E15" s="12" t="s">
        <v>62</v>
      </c>
      <c r="F15" s="12" t="s">
        <v>63</v>
      </c>
      <c r="G15" s="13" t="s">
        <v>64</v>
      </c>
      <c r="H15" s="21">
        <v>0</v>
      </c>
      <c r="I15" s="21">
        <f t="shared" si="0"/>
        <v>2.64</v>
      </c>
      <c r="J15" s="21">
        <f t="shared" si="1"/>
        <v>5.28</v>
      </c>
      <c r="K15" s="22">
        <f t="shared" si="2"/>
        <v>8</v>
      </c>
      <c r="L15" s="32">
        <v>8</v>
      </c>
      <c r="M15" s="29"/>
    </row>
    <row r="16" spans="2:13" ht="15.75" thickBot="1" x14ac:dyDescent="0.3">
      <c r="H16" s="24"/>
      <c r="I16" s="24"/>
      <c r="J16" s="24"/>
      <c r="K16" s="25"/>
      <c r="L16" s="14">
        <f>SUM(L4:L15)</f>
        <v>100</v>
      </c>
      <c r="M16" s="27">
        <f>VLOOKUP(L16,'Escala notas'!$A$2:$B$102,2,FALSE)</f>
        <v>7</v>
      </c>
    </row>
  </sheetData>
  <mergeCells count="3">
    <mergeCell ref="B5:B7"/>
    <mergeCell ref="B8:B10"/>
    <mergeCell ref="B11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Escala notas</vt:lpstr>
      <vt:lpstr>Escala apreciación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Díaz Araos</dc:creator>
  <cp:lastModifiedBy>ALEX ALFREDO DIAZ ARAOS</cp:lastModifiedBy>
  <dcterms:created xsi:type="dcterms:W3CDTF">2015-06-05T18:19:34Z</dcterms:created>
  <dcterms:modified xsi:type="dcterms:W3CDTF">2026-08-25T02:06:36Z</dcterms:modified>
</cp:coreProperties>
</file>